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 defaultThemeVersion="166925"/>
  <xr:revisionPtr revIDLastSave="0" documentId="8_{AE5F4CD8-6247-4C56-BDEC-469964212B85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Store_Data" sheetId="1" r:id="rId1"/>
    <sheet name="Store_Summar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0" i="1" l="1"/>
  <c r="B19" i="1"/>
  <c r="B18" i="1"/>
  <c r="B17" i="1"/>
  <c r="B16" i="1"/>
  <c r="B15" i="1"/>
  <c r="A2" i="1" a="1"/>
  <c r="A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<sst xmlns="http://schemas.openxmlformats.org/spreadsheetml/2006/main" count="7" uniqueCount="7">
  <si>
    <t>Store</t>
  </si>
  <si>
    <t>Monthly Sales</t>
  </si>
  <si>
    <t>Average</t>
  </si>
  <si>
    <t>Median</t>
  </si>
  <si>
    <t>Mode</t>
  </si>
  <si>
    <t>Range</t>
  </si>
  <si>
    <t>The 12 analyzed locations generated an overall average monthly sales perfomance of 49.42 units with indivual store metrics ranging from the low of 43 to a high of 72. When looking at the complete data, the stores performance initially appears somewhat spread out, yielding a standard deviation of 7.63. However at a closer look it reveals performance is tightly grouped between 43 and 52 units. For 11 out of the 12 locations the overall results are significantly influenced by a significant location, Store H (72 sales) which acts as a major positive outlier. Removing Store H from the calculation causes the standard deviation to drop drastically to 2.91, confriming exceptional consistency across the standard.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</si>
</sst>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readingOrder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workbookViewId="0">
      <selection activeCell="A21" sqref="A21"/>
    </sheetView>
  </sheetViews>
  <sheetFormatPr defaultRowHeight="15"/>
  <sheetData>
    <row r="1" spans="1:2">
      <c r="A1" t="s">
        <v>0</v>
      </c>
      <c r="B1" t="s">
        <v>1</v>
      </c>
    </row>
    <row r="2" spans="1:2" ht="14.25">
      <c r="A2" t="str" cm="1">
        <f t="array" ref="A2:A13">"Store " &amp; CHAR(_xlfn.SEQUENCE(12,,65))</f>
        <v>Store A</v>
      </c>
      <c r="B2" s="1">
        <v>51</v>
      </c>
    </row>
    <row r="3" spans="1:2">
      <c r="A3" t="str">
        <v>Store B</v>
      </c>
      <c r="B3" s="2">
        <v>44</v>
      </c>
    </row>
    <row r="4" spans="1:2">
      <c r="A4" t="str">
        <v>Store C</v>
      </c>
      <c r="B4" s="2">
        <v>49</v>
      </c>
    </row>
    <row r="5" spans="1:2">
      <c r="A5" t="str">
        <v>Store D</v>
      </c>
      <c r="B5" s="2">
        <v>46</v>
      </c>
    </row>
    <row r="6" spans="1:2">
      <c r="A6" t="str">
        <v>Store E</v>
      </c>
      <c r="B6" s="2">
        <v>52</v>
      </c>
    </row>
    <row r="7" spans="1:2">
      <c r="A7" t="str">
        <v>Store F</v>
      </c>
      <c r="B7" s="2">
        <v>47</v>
      </c>
    </row>
    <row r="8" spans="1:2">
      <c r="A8" t="str">
        <v>Store G</v>
      </c>
      <c r="B8" s="2">
        <v>45</v>
      </c>
    </row>
    <row r="9" spans="1:2">
      <c r="A9" t="str">
        <v>Store H</v>
      </c>
      <c r="B9" s="2">
        <v>72</v>
      </c>
    </row>
    <row r="10" spans="1:2">
      <c r="A10" t="str">
        <v>Store I</v>
      </c>
      <c r="B10" s="2">
        <v>43</v>
      </c>
    </row>
    <row r="11" spans="1:2">
      <c r="A11" t="str">
        <v>Store J</v>
      </c>
      <c r="B11" s="2">
        <v>48</v>
      </c>
    </row>
    <row r="12" spans="1:2">
      <c r="A12" t="str">
        <v>Store K</v>
      </c>
      <c r="B12" s="2">
        <v>46</v>
      </c>
    </row>
    <row r="13" spans="1:2">
      <c r="A13" t="str">
        <v>Store L</v>
      </c>
      <c r="B13" s="2">
        <v>50</v>
      </c>
    </row>
    <row r="15" spans="1:2">
      <c r="A15" t="s">
        <v>2</v>
      </c>
      <c r="B15">
        <f>AVERAGE(B2:B13)</f>
        <v>49.416666666666664</v>
      </c>
    </row>
    <row r="16" spans="1:2">
      <c r="A16" t="s">
        <v>3</v>
      </c>
      <c r="B16">
        <f>MEDIAN(B2:B13)</f>
        <v>47.5</v>
      </c>
    </row>
    <row r="17" spans="1:2">
      <c r="A17" t="s">
        <v>4</v>
      </c>
      <c r="B17">
        <f>MODE(B2:B13)</f>
        <v>46</v>
      </c>
    </row>
    <row r="18" spans="1:2">
      <c r="A18" t="s">
        <v>5</v>
      </c>
      <c r="B18">
        <f>MAX(B2:B13)</f>
        <v>72</v>
      </c>
    </row>
    <row r="19" spans="1:2">
      <c r="B19">
        <f>_xlfn.STDEV.S(B2:B13)</f>
        <v>7.6331613054586773</v>
      </c>
    </row>
    <row r="20" spans="1:2">
      <c r="B20">
        <f>_xlfn.STDEV.S(B2:B8, B10:B13)</f>
        <v>2.9076701075853588</v>
      </c>
    </row>
  </sheetData>
  <sortState xmlns:xlrd2="http://schemas.microsoft.com/office/spreadsheetml/2017/richdata2" ref="A1:B2">
    <sortCondition ref="A1:A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A1115-318E-4A13-A23B-896B4F94EA03}">
  <dimension ref="A1:A2"/>
  <sheetViews>
    <sheetView tabSelected="1" workbookViewId="0"/>
  </sheetViews>
  <sheetFormatPr defaultRowHeight="15"/>
  <cols>
    <col min="1" max="1" width="135.140625" customWidth="1"/>
  </cols>
  <sheetData>
    <row r="1" spans="1:1" ht="59.25" customHeight="1">
      <c r="A1" s="3" t="s">
        <v>6</v>
      </c>
    </row>
    <row r="2" spans="1:1" ht="17.2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2026-10-04T04:57:44Z</dcterms:created>
  <dcterms:modified xsi:type="dcterms:W3CDTF">2026-10-05T20:45:38Z</dcterms:modified>
  <cp:category/>
  <cp:contentStatus/>
</cp:coreProperties>
</file>